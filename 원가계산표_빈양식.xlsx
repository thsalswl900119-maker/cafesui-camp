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케이크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<sst xmlns="http://schemas.openxmlformats.org/spreadsheetml/2006/main" uniqueCount="19">
  <si>
    <t xml:space="preserve">케이크 </t>
  </si>
  <si>
    <t>제품명</t>
  </si>
  <si>
    <t>[</t>
  </si>
  <si>
    <t>개분량 ]</t>
  </si>
  <si>
    <t>No</t>
  </si>
  <si>
    <t>재료</t>
  </si>
  <si>
    <t>단가</t>
  </si>
  <si>
    <t>기준수량</t>
  </si>
  <si>
    <t>레시피</t>
  </si>
  <si>
    <t>원가</t>
  </si>
  <si>
    <t>g</t>
  </si>
  <si>
    <t>ml</t>
  </si>
  <si>
    <t>1개 원가=</t>
  </si>
  <si>
    <t>원</t>
  </si>
  <si>
    <t>합계</t>
  </si>
  <si>
    <t>판매가격</t>
  </si>
  <si>
    <t>식자재 원가비율</t>
  </si>
  <si>
    <t>마진 계산</t>
  </si>
  <si>
    <t>마진율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</si>
</sst>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&quot;₩&quot;#,##0&quot; &quot;;&quot;(₩&quot;#,##0)"/>
    <numFmt numFmtId="60" formatCode="&quot;₩&quot;#,##0.00&quot; &quot;;&quot;(₩&quot;#,##0.00)"/>
    <numFmt numFmtId="61" formatCode="[$₩-412]#,##0"/>
    <numFmt numFmtId="62" formatCode="#,##0.0%"/>
  </numFmts>
  <fonts count="8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맑은 고딕"/>
    </font>
    <font>
      <sz val="10"/>
      <color indexed="8"/>
      <name val="맑은 고딕"/>
    </font>
    <font>
      <b val="1"/>
      <sz val="9"/>
      <color indexed="8"/>
      <name val="맑은 고딕"/>
    </font>
    <font>
      <sz val="9"/>
      <color indexed="8"/>
      <name val="맑은 고딕"/>
    </font>
    <font>
      <b val="1"/>
      <sz val="10"/>
      <color indexed="8"/>
      <name val="맑은 고딕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medium">
        <color indexed="8"/>
      </right>
      <top style="thick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medium">
        <color indexed="8"/>
      </right>
      <top style="thin">
        <color indexed="8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60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0" fontId="3" fillId="2" borderId="4" applyNumberFormat="0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vertical="center"/>
    </xf>
    <xf numFmtId="49" fontId="3" fillId="2" borderId="5" applyNumberFormat="1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49" fontId="4" fillId="2" borderId="5" applyNumberFormat="1" applyFont="1" applyFill="1" applyBorder="1" applyAlignment="1" applyProtection="0">
      <alignment horizontal="right" vertical="center"/>
    </xf>
    <xf numFmtId="0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49" fontId="5" fillId="2" borderId="7" applyNumberFormat="1" applyFont="1" applyFill="1" applyBorder="1" applyAlignment="1" applyProtection="0">
      <alignment horizontal="center" vertical="center"/>
    </xf>
    <xf numFmtId="49" fontId="5" fillId="2" borderId="8" applyNumberFormat="1" applyFont="1" applyFill="1" applyBorder="1" applyAlignment="1" applyProtection="0">
      <alignment horizontal="center" vertical="center"/>
    </xf>
    <xf numFmtId="49" fontId="5" fillId="2" borderId="9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horizontal="center" vertical="center"/>
    </xf>
    <xf numFmtId="0" fontId="5" fillId="2" borderId="11" applyNumberFormat="0" applyFont="1" applyFill="1" applyBorder="1" applyAlignment="1" applyProtection="0">
      <alignment horizontal="center" vertical="center"/>
    </xf>
    <xf numFmtId="49" fontId="5" fillId="2" borderId="12" applyNumberFormat="1" applyFont="1" applyFill="1" applyBorder="1" applyAlignment="1" applyProtection="0">
      <alignment horizontal="center" vertical="center"/>
    </xf>
    <xf numFmtId="0" fontId="5" fillId="2" borderId="13" applyNumberFormat="0" applyFont="1" applyFill="1" applyBorder="1" applyAlignment="1" applyProtection="0">
      <alignment horizontal="center" vertical="center"/>
    </xf>
    <xf numFmtId="49" fontId="5" fillId="2" borderId="14" applyNumberFormat="1" applyFont="1" applyFill="1" applyBorder="1" applyAlignment="1" applyProtection="0">
      <alignment horizontal="center" vertical="center"/>
    </xf>
    <xf numFmtId="0" fontId="4" fillId="2" borderId="15" applyNumberFormat="1" applyFont="1" applyFill="1" applyBorder="1" applyAlignment="1" applyProtection="0">
      <alignment horizontal="center" vertical="center"/>
    </xf>
    <xf numFmtId="49" fontId="5" fillId="2" borderId="16" applyNumberFormat="1" applyFont="1" applyFill="1" applyBorder="1" applyAlignment="1" applyProtection="0">
      <alignment horizontal="center" vertical="center"/>
    </xf>
    <xf numFmtId="49" fontId="5" fillId="2" borderId="17" applyNumberFormat="1" applyFont="1" applyFill="1" applyBorder="1" applyAlignment="1" applyProtection="0">
      <alignment horizontal="center" vertical="center"/>
    </xf>
    <xf numFmtId="49" fontId="5" fillId="2" borderId="18" applyNumberFormat="1" applyFont="1" applyFill="1" applyBorder="1" applyAlignment="1" applyProtection="0">
      <alignment horizontal="center" vertical="center"/>
    </xf>
    <xf numFmtId="0" fontId="5" fillId="2" borderId="19" applyNumberFormat="0" applyFont="1" applyFill="1" applyBorder="1" applyAlignment="1" applyProtection="0">
      <alignment horizontal="center" vertical="center"/>
    </xf>
    <xf numFmtId="49" fontId="5" fillId="2" borderId="20" applyNumberFormat="1" applyFont="1" applyFill="1" applyBorder="1" applyAlignment="1" applyProtection="0">
      <alignment horizontal="center" vertical="center"/>
    </xf>
    <xf numFmtId="0" fontId="5" fillId="2" borderId="21" applyNumberFormat="0" applyFont="1" applyFill="1" applyBorder="1" applyAlignment="1" applyProtection="0">
      <alignment horizontal="center" vertical="center"/>
    </xf>
    <xf numFmtId="49" fontId="5" fillId="2" borderId="22" applyNumberFormat="1" applyFont="1" applyFill="1" applyBorder="1" applyAlignment="1" applyProtection="0">
      <alignment horizontal="center" vertical="center"/>
    </xf>
    <xf numFmtId="0" fontId="4" fillId="2" borderId="23" applyNumberFormat="0" applyFont="1" applyFill="1" applyBorder="1" applyAlignment="1" applyProtection="0">
      <alignment horizontal="center" vertical="center"/>
    </xf>
    <xf numFmtId="59" fontId="4" fillId="2" borderId="24" applyNumberFormat="1" applyFont="1" applyFill="1" applyBorder="1" applyAlignment="1" applyProtection="0">
      <alignment horizontal="center" vertical="center"/>
    </xf>
    <xf numFmtId="3" fontId="4" fillId="2" borderId="25" applyNumberFormat="1" applyFont="1" applyFill="1" applyBorder="1" applyAlignment="1" applyProtection="0">
      <alignment horizontal="center" vertical="center"/>
    </xf>
    <xf numFmtId="49" fontId="4" fillId="2" borderId="26" applyNumberFormat="1" applyFont="1" applyFill="1" applyBorder="1" applyAlignment="1" applyProtection="0">
      <alignment horizontal="center" vertical="center"/>
    </xf>
    <xf numFmtId="0" fontId="4" fillId="2" borderId="27" applyNumberFormat="1" applyFont="1" applyFill="1" applyBorder="1" applyAlignment="1" applyProtection="0">
      <alignment horizontal="center" vertical="center"/>
    </xf>
    <xf numFmtId="49" fontId="4" fillId="2" borderId="28" applyNumberFormat="1" applyFont="1" applyFill="1" applyBorder="1" applyAlignment="1" applyProtection="0">
      <alignment horizontal="center" vertical="center"/>
    </xf>
    <xf numFmtId="59" fontId="4" fillId="2" borderId="29" applyNumberFormat="1" applyFont="1" applyFill="1" applyBorder="1" applyAlignment="1" applyProtection="0">
      <alignment horizontal="center" vertical="center"/>
    </xf>
    <xf numFmtId="0" fontId="6" fillId="2" borderId="23" applyNumberFormat="0" applyFont="1" applyFill="1" applyBorder="1" applyAlignment="1" applyProtection="0">
      <alignment horizontal="center" vertical="center"/>
    </xf>
    <xf numFmtId="0" fontId="4" fillId="2" borderId="25" applyNumberFormat="0" applyFont="1" applyFill="1" applyBorder="1" applyAlignment="1" applyProtection="0">
      <alignment horizontal="center" vertical="center"/>
    </xf>
    <xf numFmtId="0" fontId="4" fillId="2" borderId="26" applyNumberFormat="0" applyFont="1" applyFill="1" applyBorder="1" applyAlignment="1" applyProtection="0">
      <alignment horizontal="center" vertical="center"/>
    </xf>
    <xf numFmtId="0" fontId="4" fillId="2" borderId="27" applyNumberFormat="0" applyFont="1" applyFill="1" applyBorder="1" applyAlignment="1" applyProtection="0">
      <alignment horizontal="center" vertical="center"/>
    </xf>
    <xf numFmtId="0" fontId="4" fillId="2" borderId="28" applyNumberFormat="0" applyFont="1" applyFill="1" applyBorder="1" applyAlignment="1" applyProtection="0">
      <alignment horizontal="center" vertical="center"/>
    </xf>
    <xf numFmtId="0" fontId="4" fillId="2" borderId="30" applyNumberFormat="0" applyFont="1" applyFill="1" applyBorder="1" applyAlignment="1" applyProtection="0">
      <alignment vertical="center"/>
    </xf>
    <xf numFmtId="49" fontId="4" fillId="2" borderId="31" applyNumberFormat="1" applyFont="1" applyFill="1" applyBorder="1" applyAlignment="1" applyProtection="0">
      <alignment horizontal="right" vertical="center"/>
    </xf>
    <xf numFmtId="60" fontId="7" fillId="2" borderId="31" applyNumberFormat="1" applyFont="1" applyFill="1" applyBorder="1" applyAlignment="1" applyProtection="0">
      <alignment vertical="center"/>
    </xf>
    <xf numFmtId="49" fontId="4" fillId="2" borderId="31" applyNumberFormat="1" applyFont="1" applyFill="1" applyBorder="1" applyAlignment="1" applyProtection="0">
      <alignment vertical="center"/>
    </xf>
    <xf numFmtId="0" fontId="4" fillId="2" borderId="32" applyNumberFormat="0" applyFont="1" applyFill="1" applyBorder="1" applyAlignment="1" applyProtection="0">
      <alignment vertical="center"/>
    </xf>
    <xf numFmtId="49" fontId="7" fillId="2" borderId="27" applyNumberFormat="1" applyFont="1" applyFill="1" applyBorder="1" applyAlignment="1" applyProtection="0">
      <alignment horizontal="center" vertical="center"/>
    </xf>
    <xf numFmtId="0" fontId="7" fillId="2" borderId="28" applyNumberFormat="0" applyFont="1" applyFill="1" applyBorder="1" applyAlignment="1" applyProtection="0">
      <alignment horizontal="center" vertical="center"/>
    </xf>
    <xf numFmtId="59" fontId="7" fillId="2" borderId="29" applyNumberFormat="1" applyFont="1" applyFill="1" applyBorder="1" applyAlignment="1" applyProtection="0">
      <alignment horizontal="center" vertical="center"/>
    </xf>
    <xf numFmtId="61" fontId="7" fillId="2" borderId="31" applyNumberFormat="1" applyFont="1" applyFill="1" applyBorder="1" applyAlignment="1" applyProtection="0">
      <alignment vertical="center"/>
    </xf>
    <xf numFmtId="0" fontId="4" fillId="2" borderId="31" applyNumberFormat="0" applyFont="1" applyFill="1" applyBorder="1" applyAlignment="1" applyProtection="0">
      <alignment vertical="center"/>
    </xf>
    <xf numFmtId="0" fontId="0" fillId="2" borderId="28" applyNumberFormat="0" applyFont="1" applyFill="1" applyBorder="1" applyAlignment="1" applyProtection="0">
      <alignment vertical="center"/>
    </xf>
    <xf numFmtId="62" fontId="7" fillId="2" borderId="29" applyNumberFormat="1" applyFont="1" applyFill="1" applyBorder="1" applyAlignment="1" applyProtection="0">
      <alignment horizontal="center" vertical="center"/>
    </xf>
    <xf numFmtId="0" fontId="4" fillId="2" borderId="33" applyNumberFormat="0" applyFont="1" applyFill="1" applyBorder="1" applyAlignment="1" applyProtection="0">
      <alignment vertical="center"/>
    </xf>
    <xf numFmtId="49" fontId="4" fillId="2" borderId="34" applyNumberFormat="1" applyFont="1" applyFill="1" applyBorder="1" applyAlignment="1" applyProtection="0">
      <alignment horizontal="right" vertical="center"/>
    </xf>
    <xf numFmtId="61" fontId="7" fillId="2" borderId="34" applyNumberFormat="1" applyFont="1" applyFill="1" applyBorder="1" applyAlignment="1" applyProtection="0">
      <alignment vertical="center"/>
    </xf>
    <xf numFmtId="0" fontId="4" fillId="2" borderId="34" applyNumberFormat="0" applyFont="1" applyFill="1" applyBorder="1" applyAlignment="1" applyProtection="0">
      <alignment vertical="center"/>
    </xf>
    <xf numFmtId="0" fontId="4" fillId="2" borderId="35" applyNumberFormat="0" applyFont="1" applyFill="1" applyBorder="1" applyAlignment="1" applyProtection="0">
      <alignment vertical="center"/>
    </xf>
    <xf numFmtId="49" fontId="7" fillId="2" borderId="36" applyNumberFormat="1" applyFont="1" applyFill="1" applyBorder="1" applyAlignment="1" applyProtection="0">
      <alignment horizontal="center" vertical="center"/>
    </xf>
    <xf numFmtId="0" fontId="0" fillId="2" borderId="37" applyNumberFormat="0" applyFont="1" applyFill="1" applyBorder="1" applyAlignment="1" applyProtection="0">
      <alignment vertical="center"/>
    </xf>
    <xf numFmtId="62" fontId="7" fillId="2" borderId="38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20"/>
  <sheetViews>
    <sheetView workbookViewId="0" showGridLines="0" defaultGridColor="1"/>
  </sheetViews>
  <sheetFormatPr defaultColWidth="8.83333" defaultRowHeight="16.5" customHeight="1" outlineLevelRow="0" outlineLevelCol="0"/>
  <cols>
    <col min="1" max="1" width="8.85156" style="1" customWidth="1"/>
    <col min="2" max="2" width="4.17188" style="1" customWidth="1"/>
    <col min="3" max="3" width="18.5" style="1" customWidth="1"/>
    <col min="4" max="4" width="8.85156" style="1" customWidth="1"/>
    <col min="5" max="5" width="8.35156" style="1" customWidth="1"/>
    <col min="6" max="6" width="5.17188" style="1" customWidth="1"/>
    <col min="7" max="7" width="8.17188" style="1" customWidth="1"/>
    <col min="8" max="8" width="2.35156" style="1" customWidth="1"/>
    <col min="9" max="9" width="10.8516" style="1" customWidth="1"/>
    <col min="10" max="16384" width="8.85156" style="1" customWidth="1"/>
  </cols>
  <sheetData>
    <row r="1" ht="22.5" customHeight="1">
      <c r="A1" s="2"/>
      <c r="B1" s="3"/>
      <c r="C1" s="3"/>
      <c r="D1" s="3"/>
      <c r="E1" s="3"/>
      <c r="F1" s="3"/>
      <c r="G1" s="3"/>
      <c r="H1" s="3"/>
      <c r="I1" s="3"/>
    </row>
    <row r="2" ht="35.25" customHeight="1">
      <c r="A2" s="4"/>
      <c r="B2" s="5"/>
      <c r="C2" t="s" s="6">
        <v>0</v>
      </c>
      <c r="D2" t="s" s="7">
        <v>1</v>
      </c>
      <c r="E2" s="8"/>
      <c r="F2" s="8"/>
      <c r="G2" t="s" s="9">
        <v>2</v>
      </c>
      <c r="H2" s="10"/>
      <c r="I2" t="s" s="11">
        <v>3</v>
      </c>
    </row>
    <row r="3" ht="23.25" customHeight="1">
      <c r="A3" s="4"/>
      <c r="B3" t="s" s="12">
        <v>4</v>
      </c>
      <c r="C3" t="s" s="13">
        <v>5</v>
      </c>
      <c r="D3" t="s" s="14">
        <v>6</v>
      </c>
      <c r="E3" t="s" s="15">
        <v>7</v>
      </c>
      <c r="F3" s="16"/>
      <c r="G3" t="s" s="17">
        <v>8</v>
      </c>
      <c r="H3" s="18"/>
      <c r="I3" t="s" s="19">
        <v>9</v>
      </c>
    </row>
    <row r="4" ht="23.25" customHeight="1">
      <c r="A4" s="4"/>
      <c r="B4" s="20">
        <v>1</v>
      </c>
      <c r="C4" t="s" s="21">
        <v>5</v>
      </c>
      <c r="D4" t="s" s="22">
        <v>6</v>
      </c>
      <c r="E4" t="s" s="23">
        <v>7</v>
      </c>
      <c r="F4" s="24"/>
      <c r="G4" t="s" s="25">
        <v>8</v>
      </c>
      <c r="H4" s="26"/>
      <c r="I4" t="s" s="27">
        <v>9</v>
      </c>
    </row>
    <row r="5" ht="23.25" customHeight="1">
      <c r="A5" s="4"/>
      <c r="B5" s="20">
        <v>2</v>
      </c>
      <c r="C5" s="28"/>
      <c r="D5" s="29"/>
      <c r="E5" s="30"/>
      <c r="F5" t="s" s="31">
        <v>10</v>
      </c>
      <c r="G5" s="32"/>
      <c r="H5" t="s" s="33">
        <v>10</v>
      </c>
      <c r="I5" s="34" cm="1">
        <f t="array" ref="I5">D5/E5*G5</f>
        <v>50000</v>
      </c>
    </row>
    <row r="6" ht="23.25" customHeight="1">
      <c r="A6" s="4"/>
      <c r="B6" s="20">
        <v>3</v>
      </c>
      <c r="C6" s="28"/>
      <c r="D6" s="29"/>
      <c r="E6" s="30"/>
      <c r="F6" t="s" s="31">
        <v>10</v>
      </c>
      <c r="G6" s="32"/>
      <c r="H6" t="s" s="33">
        <v>10</v>
      </c>
      <c r="I6" s="34" cm="1">
        <f t="array" ref="I6">D6/E6*G6</f>
        <v>50000</v>
      </c>
    </row>
    <row r="7" ht="23.25" customHeight="1">
      <c r="A7" s="4"/>
      <c r="B7" s="20">
        <v>4</v>
      </c>
      <c r="C7" s="28"/>
      <c r="D7" s="29"/>
      <c r="E7" s="30"/>
      <c r="F7" t="s" s="31">
        <v>10</v>
      </c>
      <c r="G7" s="32"/>
      <c r="H7" t="s" s="33">
        <v>10</v>
      </c>
      <c r="I7" s="34" cm="1">
        <f t="array" ref="I7">D7/E7*G7</f>
        <v>50000</v>
      </c>
    </row>
    <row r="8" ht="23.25" customHeight="1">
      <c r="A8" s="4"/>
      <c r="B8" s="20">
        <v>5</v>
      </c>
      <c r="C8" s="28"/>
      <c r="D8" s="29"/>
      <c r="E8" s="30"/>
      <c r="F8" t="s" s="31">
        <v>10</v>
      </c>
      <c r="G8" s="32"/>
      <c r="H8" t="s" s="33">
        <v>10</v>
      </c>
      <c r="I8" s="34" cm="1">
        <f t="array" ref="I8">D8/E8*G8</f>
        <v>50000</v>
      </c>
    </row>
    <row r="9" ht="23.25" customHeight="1">
      <c r="A9" s="4"/>
      <c r="B9" s="20">
        <v>6</v>
      </c>
      <c r="C9" s="28"/>
      <c r="D9" s="29"/>
      <c r="E9" s="30"/>
      <c r="F9" t="s" s="31">
        <v>10</v>
      </c>
      <c r="G9" s="32"/>
      <c r="H9" t="s" s="33">
        <v>10</v>
      </c>
      <c r="I9" s="34" cm="1">
        <f t="array" ref="I9">D9/E9*G9</f>
        <v>50000</v>
      </c>
    </row>
    <row r="10" ht="23.25" customHeight="1">
      <c r="A10" s="4"/>
      <c r="B10" s="20">
        <v>7</v>
      </c>
      <c r="C10" s="28"/>
      <c r="D10" s="29"/>
      <c r="E10" s="30"/>
      <c r="F10" t="s" s="31">
        <v>10</v>
      </c>
      <c r="G10" s="32"/>
      <c r="H10" t="s" s="33">
        <v>10</v>
      </c>
      <c r="I10" s="34" cm="1">
        <f t="array" ref="I10">D10/E10*G10</f>
        <v>50000</v>
      </c>
    </row>
    <row r="11" ht="23.25" customHeight="1">
      <c r="A11" s="4"/>
      <c r="B11" s="20">
        <v>8</v>
      </c>
      <c r="C11" s="35"/>
      <c r="D11" s="29"/>
      <c r="E11" s="30"/>
      <c r="F11" t="s" s="31">
        <v>11</v>
      </c>
      <c r="G11" s="32"/>
      <c r="H11" t="s" s="33">
        <v>10</v>
      </c>
      <c r="I11" s="34" cm="1">
        <f t="array" ref="I11">D11/E11*G11</f>
        <v>50000</v>
      </c>
    </row>
    <row r="12" ht="23.25" customHeight="1">
      <c r="A12" s="4"/>
      <c r="B12" s="20">
        <v>9</v>
      </c>
      <c r="C12" s="28"/>
      <c r="D12" s="29"/>
      <c r="E12" s="36"/>
      <c r="F12" s="37"/>
      <c r="G12" s="38"/>
      <c r="H12" s="39"/>
      <c r="I12" s="34"/>
    </row>
    <row r="13" ht="23.25" customHeight="1">
      <c r="A13" s="4"/>
      <c r="B13" s="20">
        <v>10</v>
      </c>
      <c r="C13" s="28"/>
      <c r="D13" s="29"/>
      <c r="E13" s="36"/>
      <c r="F13" s="37"/>
      <c r="G13" s="38"/>
      <c r="H13" s="39"/>
      <c r="I13" s="34"/>
    </row>
    <row r="14" ht="23.25" customHeight="1">
      <c r="A14" s="4"/>
      <c r="B14" s="20">
        <v>11</v>
      </c>
      <c r="C14" s="28"/>
      <c r="D14" s="29"/>
      <c r="E14" s="36"/>
      <c r="F14" s="37"/>
      <c r="G14" s="38"/>
      <c r="H14" s="39"/>
      <c r="I14" s="34"/>
    </row>
    <row r="15" ht="23.25" customHeight="1">
      <c r="A15" s="4"/>
      <c r="B15" s="20">
        <v>12</v>
      </c>
      <c r="C15" s="28"/>
      <c r="D15" s="29"/>
      <c r="E15" s="36"/>
      <c r="F15" s="37"/>
      <c r="G15" s="38"/>
      <c r="H15" s="39"/>
      <c r="I15" s="34"/>
    </row>
    <row r="16" ht="23.25" customHeight="1">
      <c r="A16" s="4"/>
      <c r="B16" s="20">
        <v>13</v>
      </c>
      <c r="C16" s="28"/>
      <c r="D16" s="29"/>
      <c r="E16" s="36"/>
      <c r="F16" s="37"/>
      <c r="G16" s="38"/>
      <c r="H16" s="39"/>
      <c r="I16" s="34"/>
    </row>
    <row r="17" ht="23.25" customHeight="1">
      <c r="A17" s="4"/>
      <c r="B17" s="20">
        <v>14</v>
      </c>
      <c r="C17" s="28"/>
      <c r="D17" s="29"/>
      <c r="E17" s="36"/>
      <c r="F17" s="37"/>
      <c r="G17" s="38"/>
      <c r="H17" s="39"/>
      <c r="I17" s="34"/>
    </row>
    <row r="18" ht="23.25" customHeight="1">
      <c r="A18" s="4"/>
      <c r="B18" s="40"/>
      <c r="C18" t="s" s="41">
        <v>12</v>
      </c>
      <c r="D18" s="42" cm="1">
        <f t="array" ref="D18">I18/H2</f>
        <v>175000</v>
      </c>
      <c r="E18" t="s" s="43">
        <v>13</v>
      </c>
      <c r="F18" s="44"/>
      <c r="G18" t="s" s="45">
        <v>14</v>
      </c>
      <c r="H18" s="46"/>
      <c r="I18" s="47" cm="1">
        <f t="array" ref="I18">SUM(I5:I17)</f>
        <v>350000</v>
      </c>
    </row>
    <row r="19" ht="23.25" customHeight="1">
      <c r="A19" s="4"/>
      <c r="B19" s="40"/>
      <c r="C19" t="s" s="41">
        <v>15</v>
      </c>
      <c r="D19" s="48"/>
      <c r="E19" s="49"/>
      <c r="F19" s="44"/>
      <c r="G19" t="s" s="45">
        <v>16</v>
      </c>
      <c r="H19" s="50"/>
      <c r="I19" s="51" cm="1">
        <f t="array" ref="I19">D18/D19</f>
        <v>4.06976744186047</v>
      </c>
    </row>
    <row r="20" ht="23.25" customHeight="1">
      <c r="A20" s="4"/>
      <c r="B20" s="52"/>
      <c r="C20" t="s" s="53">
        <v>17</v>
      </c>
      <c r="D20" s="54" cm="1">
        <f t="array" ref="D20">D19-D18</f>
        <v>-132000</v>
      </c>
      <c r="E20" s="55"/>
      <c r="F20" s="56"/>
      <c r="G20" t="s" s="57">
        <v>18</v>
      </c>
      <c r="H20" s="58"/>
      <c r="I20" s="59" cm="1">
        <f t="array" ref="I20">(D20/D19)</f>
        <v>-3.06976744186047</v>
      </c>
    </row>
  </sheetData>
  <mergeCells count="8">
    <mergeCell ref="E3:F3"/>
    <mergeCell ref="G3:H3"/>
    <mergeCell ref="D2:F2"/>
    <mergeCell ref="E4:F4"/>
    <mergeCell ref="G4:H4"/>
    <mergeCell ref="G18:H18"/>
    <mergeCell ref="G19:H19"/>
    <mergeCell ref="G20:H20"/>
  </mergeCells>
  <conditionalFormatting sqref="D5:D20 I5:I20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